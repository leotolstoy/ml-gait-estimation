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o/Documents/Research/Exo/ML Gait Estimation/ml-gait-estimation/live_data/"/>
    </mc:Choice>
  </mc:AlternateContent>
  <xr:revisionPtr revIDLastSave="0" documentId="13_ncr:1_{61ED602F-CB0D-6A46-8144-3498A6BFFB6A}" xr6:coauthVersionLast="47" xr6:coauthVersionMax="47" xr10:uidLastSave="{00000000-0000-0000-0000-000000000000}"/>
  <bookViews>
    <workbookView xWindow="380" yWindow="500" windowWidth="28040" windowHeight="16940" activeTab="2" xr2:uid="{F1A72956-A8B5-214A-A121-9EF4C8B7445D}"/>
  </bookViews>
  <sheets>
    <sheet name="ML" sheetId="1" r:id="rId1"/>
    <sheet name="EKF" sheetId="2" r:id="rId2"/>
    <sheet name="TB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3" l="1"/>
  <c r="C15" i="3" s="1"/>
  <c r="B14" i="3"/>
  <c r="B15" i="3" s="1"/>
  <c r="B14" i="2"/>
  <c r="B15" i="2" s="1"/>
  <c r="G14" i="2"/>
  <c r="G15" i="2" s="1"/>
  <c r="F14" i="2"/>
  <c r="F15" i="2" s="1"/>
  <c r="E14" i="2"/>
  <c r="E15" i="2" s="1"/>
  <c r="D14" i="2"/>
  <c r="D15" i="2" s="1"/>
  <c r="C14" i="2"/>
  <c r="C15" i="2" s="1"/>
  <c r="C14" i="1"/>
  <c r="C15" i="1" s="1"/>
  <c r="D14" i="1"/>
  <c r="D15" i="1" s="1"/>
  <c r="E14" i="1"/>
  <c r="E15" i="1" s="1"/>
  <c r="F14" i="1"/>
  <c r="F15" i="1" s="1"/>
  <c r="G14" i="1"/>
  <c r="G15" i="1" s="1"/>
  <c r="H14" i="1"/>
  <c r="H15" i="1" s="1"/>
  <c r="I14" i="1"/>
  <c r="I15" i="1" s="1"/>
  <c r="J14" i="1"/>
  <c r="J15" i="1" s="1"/>
  <c r="K14" i="1"/>
  <c r="K15" i="1" s="1"/>
  <c r="L14" i="1"/>
  <c r="L15" i="1" s="1"/>
  <c r="M14" i="1"/>
  <c r="M15" i="1" s="1"/>
  <c r="N14" i="1"/>
  <c r="N15" i="1" s="1"/>
  <c r="O14" i="1"/>
  <c r="O15" i="1" s="1"/>
  <c r="P14" i="1"/>
  <c r="P15" i="1" s="1"/>
  <c r="Q14" i="1"/>
  <c r="Q15" i="1" s="1"/>
  <c r="R14" i="1"/>
  <c r="R15" i="1" s="1"/>
  <c r="S14" i="1"/>
  <c r="S15" i="1" s="1"/>
  <c r="T14" i="1"/>
  <c r="T15" i="1" s="1"/>
  <c r="U14" i="1"/>
  <c r="U15" i="1" s="1"/>
  <c r="V14" i="1"/>
  <c r="V15" i="1" s="1"/>
  <c r="W14" i="1"/>
  <c r="W15" i="1" s="1"/>
  <c r="X14" i="1"/>
  <c r="X15" i="1" s="1"/>
  <c r="Y14" i="1"/>
  <c r="Y15" i="1" s="1"/>
  <c r="B14" i="1"/>
  <c r="B15" i="1" s="1"/>
</calcChain>
</file>

<file path=xl/sharedStrings.xml><?xml version="1.0" encoding="utf-8"?>
<sst xmlns="http://schemas.openxmlformats.org/spreadsheetml/2006/main" count="76" uniqueCount="24">
  <si>
    <t>Subject</t>
  </si>
  <si>
    <t>AB01</t>
  </si>
  <si>
    <t>AB02</t>
  </si>
  <si>
    <t>AB03</t>
  </si>
  <si>
    <t>AB04</t>
  </si>
  <si>
    <t>AB05</t>
  </si>
  <si>
    <t>AB06</t>
  </si>
  <si>
    <t>AB07</t>
  </si>
  <si>
    <t>AB08</t>
  </si>
  <si>
    <t>AB09</t>
  </si>
  <si>
    <t>AB10</t>
  </si>
  <si>
    <t>Steady State Error</t>
  </si>
  <si>
    <t>Transitory Error</t>
  </si>
  <si>
    <t>Overall Error</t>
  </si>
  <si>
    <t>Phase Mean</t>
  </si>
  <si>
    <t>Phase Std</t>
  </si>
  <si>
    <t>Speed Mean</t>
  </si>
  <si>
    <t>Speed Std</t>
  </si>
  <si>
    <t>Incline Mean</t>
  </si>
  <si>
    <t>Incline Std</t>
  </si>
  <si>
    <t>Stairs Mean</t>
  </si>
  <si>
    <t>Stairs Std</t>
  </si>
  <si>
    <t>Average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</si>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</sst>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60386-8BA8-2247-B4E3-F3BBC76FD0B2}">
  <dimension ref="A1:Y15"/>
  <sheetViews>
    <sheetView workbookViewId="0">
      <selection activeCell="Y8" sqref="Y8"/>
    </sheetView>
  </sheetViews>
  <sheetFormatPr baseColWidth="10" defaultRowHeight="16" x14ac:dyDescent="0.2"/>
  <sheetData>
    <row r="1" spans="1:25" x14ac:dyDescent="0.2">
      <c r="A1" t="s">
        <v>0</v>
      </c>
      <c r="B1" t="s">
        <v>13</v>
      </c>
      <c r="J1" t="s">
        <v>11</v>
      </c>
      <c r="R1" t="s">
        <v>12</v>
      </c>
    </row>
    <row r="2" spans="1:25" x14ac:dyDescent="0.2"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</row>
    <row r="3" spans="1:25" x14ac:dyDescent="0.2">
      <c r="A3" t="s">
        <v>1</v>
      </c>
      <c r="B3">
        <v>7.0233065375801096E-2</v>
      </c>
      <c r="C3">
        <v>5.2431454183681898E-2</v>
      </c>
      <c r="D3">
        <v>0.20531140260945299</v>
      </c>
      <c r="E3">
        <v>0.127792818727922</v>
      </c>
      <c r="F3">
        <v>1.6260337873606201</v>
      </c>
      <c r="G3">
        <v>1.5516943852632501</v>
      </c>
      <c r="H3">
        <v>0.93393572668613001</v>
      </c>
      <c r="I3">
        <v>0.17095110822680301</v>
      </c>
      <c r="J3">
        <v>4.7513521431854E-2</v>
      </c>
      <c r="K3">
        <v>3.96912751161368E-2</v>
      </c>
      <c r="L3">
        <v>0.174056168291644</v>
      </c>
      <c r="M3">
        <v>0.117437404454155</v>
      </c>
      <c r="N3">
        <v>1.5413582995991499</v>
      </c>
      <c r="O3">
        <v>1.67956401945823</v>
      </c>
      <c r="P3">
        <v>0.94271813655885595</v>
      </c>
      <c r="Q3">
        <v>0.16139733225233599</v>
      </c>
      <c r="R3">
        <v>9.5723285410473494E-2</v>
      </c>
      <c r="S3">
        <v>5.3263207190070702E-2</v>
      </c>
      <c r="T3">
        <v>0.24037825086845799</v>
      </c>
      <c r="U3">
        <v>0.129824685547033</v>
      </c>
      <c r="V3">
        <v>1.7210355541173801</v>
      </c>
      <c r="W3">
        <v>1.3882068269030301</v>
      </c>
      <c r="X3">
        <v>0.92408229121917096</v>
      </c>
      <c r="Y3">
        <v>0.18056315857333999</v>
      </c>
    </row>
    <row r="4" spans="1:25" x14ac:dyDescent="0.2">
      <c r="A4" t="s">
        <v>2</v>
      </c>
      <c r="B4">
        <v>7.1759141942963095E-2</v>
      </c>
      <c r="C4">
        <v>5.1905036206061898E-2</v>
      </c>
      <c r="D4">
        <v>0.203456921171349</v>
      </c>
      <c r="E4">
        <v>0.18412737254773801</v>
      </c>
      <c r="F4">
        <v>1.7186928351944499</v>
      </c>
      <c r="G4">
        <v>1.55121262780553</v>
      </c>
      <c r="H4">
        <v>0.92851994086881495</v>
      </c>
      <c r="I4">
        <v>0.20191072553204301</v>
      </c>
      <c r="J4">
        <v>5.6658386029172697E-2</v>
      </c>
      <c r="K4">
        <v>4.9329935212167303E-2</v>
      </c>
      <c r="L4">
        <v>0.16221507076056599</v>
      </c>
      <c r="M4">
        <v>9.34073782392639E-2</v>
      </c>
      <c r="N4">
        <v>1.62558547312179</v>
      </c>
      <c r="O4">
        <v>1.6547674512184201</v>
      </c>
      <c r="P4">
        <v>0.92710523357028196</v>
      </c>
      <c r="Q4">
        <v>0.205886656602638</v>
      </c>
      <c r="R4">
        <v>8.8919091844997605E-2</v>
      </c>
      <c r="S4">
        <v>4.9363748210592202E-2</v>
      </c>
      <c r="T4">
        <v>0.250322660274511</v>
      </c>
      <c r="U4">
        <v>0.24162982015082399</v>
      </c>
      <c r="V4">
        <v>1.8244966557315601</v>
      </c>
      <c r="W4">
        <v>1.41702094126103</v>
      </c>
      <c r="X4">
        <v>0.93012756279896602</v>
      </c>
      <c r="Y4">
        <v>0.19728307465916201</v>
      </c>
    </row>
    <row r="5" spans="1:25" x14ac:dyDescent="0.2">
      <c r="A5" t="s">
        <v>3</v>
      </c>
    </row>
    <row r="6" spans="1:25" x14ac:dyDescent="0.2">
      <c r="A6" t="s">
        <v>4</v>
      </c>
      <c r="B6">
        <v>6.26849791614979E-2</v>
      </c>
      <c r="C6">
        <v>4.4929887554386802E-2</v>
      </c>
      <c r="D6">
        <v>0.13892985207726199</v>
      </c>
      <c r="E6">
        <v>7.9621404212224994E-2</v>
      </c>
      <c r="F6">
        <v>1.9520020730302401</v>
      </c>
      <c r="G6">
        <v>1.62051273574725</v>
      </c>
      <c r="H6">
        <v>0.95448626408379</v>
      </c>
      <c r="I6">
        <v>0.16777127425434701</v>
      </c>
      <c r="J6">
        <v>4.7790337097212199E-2</v>
      </c>
      <c r="K6">
        <v>4.0490047106363197E-2</v>
      </c>
      <c r="L6">
        <v>0.12292809613556201</v>
      </c>
      <c r="M6">
        <v>6.6434452585898293E-2</v>
      </c>
      <c r="N6">
        <v>2.0565077144379602</v>
      </c>
      <c r="O6">
        <v>1.67615698917123</v>
      </c>
      <c r="P6">
        <v>0.95173589132985703</v>
      </c>
      <c r="Q6">
        <v>0.168916493959511</v>
      </c>
      <c r="R6">
        <v>8.52178992074685E-2</v>
      </c>
      <c r="S6">
        <v>4.1822016251575798E-2</v>
      </c>
      <c r="T6">
        <v>0.16313763670701201</v>
      </c>
      <c r="U6">
        <v>9.0994088268376197E-2</v>
      </c>
      <c r="V6">
        <v>1.79390379500317</v>
      </c>
      <c r="W6">
        <v>1.51889150588042</v>
      </c>
      <c r="X6">
        <v>0.95864708440384205</v>
      </c>
      <c r="Y6">
        <v>0.16593712267073699</v>
      </c>
    </row>
    <row r="7" spans="1:25" x14ac:dyDescent="0.2">
      <c r="A7" t="s">
        <v>5</v>
      </c>
      <c r="B7">
        <v>6.6574585189617203E-2</v>
      </c>
      <c r="C7">
        <v>4.2406070877058E-2</v>
      </c>
      <c r="D7">
        <v>0.17401543425296101</v>
      </c>
      <c r="E7">
        <v>9.4915769450842596E-2</v>
      </c>
      <c r="F7">
        <v>1.3313399831639099</v>
      </c>
      <c r="G7">
        <v>1.26794085677957</v>
      </c>
      <c r="H7">
        <v>0.93095242736313899</v>
      </c>
      <c r="I7">
        <v>0.223640024379059</v>
      </c>
      <c r="J7">
        <v>4.6852006162893402E-2</v>
      </c>
      <c r="K7">
        <v>2.95717295646152E-2</v>
      </c>
      <c r="L7">
        <v>0.13600809573796399</v>
      </c>
      <c r="M7">
        <v>9.2692239384442598E-2</v>
      </c>
      <c r="N7">
        <v>1.3395016009345699</v>
      </c>
      <c r="O7">
        <v>1.360029877009</v>
      </c>
      <c r="P7">
        <v>0.93729300532889603</v>
      </c>
      <c r="Q7">
        <v>0.20009167880197401</v>
      </c>
      <c r="R7">
        <v>8.9292999005210399E-2</v>
      </c>
      <c r="S7">
        <v>4.3568252693302299E-2</v>
      </c>
      <c r="T7">
        <v>0.21779603937783201</v>
      </c>
      <c r="U7">
        <v>7.6868683756252096E-2</v>
      </c>
      <c r="V7">
        <v>1.3219386259850501</v>
      </c>
      <c r="W7">
        <v>1.1527103085672901</v>
      </c>
      <c r="X7">
        <v>0.92364872363043105</v>
      </c>
      <c r="Y7">
        <v>0.24780851537191101</v>
      </c>
    </row>
    <row r="8" spans="1:25" x14ac:dyDescent="0.2">
      <c r="A8" t="s">
        <v>6</v>
      </c>
      <c r="B8">
        <v>7.1333268198241706E-2</v>
      </c>
      <c r="C8">
        <v>5.7724563876240399E-2</v>
      </c>
      <c r="D8">
        <v>0.212328524273317</v>
      </c>
      <c r="E8">
        <v>0.12882168925802101</v>
      </c>
      <c r="F8">
        <v>1.82245416126948</v>
      </c>
      <c r="G8">
        <v>1.7409183838381399</v>
      </c>
      <c r="H8">
        <v>0.92905830853184901</v>
      </c>
      <c r="I8">
        <v>0.202768538114902</v>
      </c>
      <c r="J8">
        <v>4.9533380236509002E-2</v>
      </c>
      <c r="K8">
        <v>3.8432240690995302E-2</v>
      </c>
      <c r="L8">
        <v>0.194730016222666</v>
      </c>
      <c r="M8">
        <v>0.13453731575773101</v>
      </c>
      <c r="N8">
        <v>1.57411771364027</v>
      </c>
      <c r="O8">
        <v>1.6679057677495801</v>
      </c>
      <c r="P8">
        <v>0.94809261317043403</v>
      </c>
      <c r="Q8">
        <v>0.170434418697546</v>
      </c>
      <c r="R8">
        <v>9.4831848728421098E-2</v>
      </c>
      <c r="S8">
        <v>6.5324697002839105E-2</v>
      </c>
      <c r="T8">
        <v>0.231298344639603</v>
      </c>
      <c r="U8">
        <v>0.11949384157359701</v>
      </c>
      <c r="V8">
        <v>2.0901415009217401</v>
      </c>
      <c r="W8">
        <v>1.77790459779148</v>
      </c>
      <c r="X8">
        <v>0.90854081132402298</v>
      </c>
      <c r="Y8">
        <v>0.230891891319736</v>
      </c>
    </row>
    <row r="9" spans="1:25" x14ac:dyDescent="0.2">
      <c r="A9" t="s">
        <v>7</v>
      </c>
    </row>
    <row r="10" spans="1:25" x14ac:dyDescent="0.2">
      <c r="A10" t="s">
        <v>8</v>
      </c>
    </row>
    <row r="11" spans="1:25" x14ac:dyDescent="0.2">
      <c r="A11" t="s">
        <v>9</v>
      </c>
      <c r="B11">
        <v>6.6137524916631205E-2</v>
      </c>
      <c r="C11">
        <v>5.3532862346544599E-2</v>
      </c>
      <c r="D11">
        <v>0.14931472136995699</v>
      </c>
      <c r="E11">
        <v>8.8966912903554796E-2</v>
      </c>
      <c r="F11">
        <v>1.45820868339564</v>
      </c>
      <c r="G11">
        <v>1.7368639373699599</v>
      </c>
      <c r="H11">
        <v>0.92097326840711602</v>
      </c>
      <c r="I11">
        <v>0.23199882639290001</v>
      </c>
      <c r="J11">
        <v>4.6129498191733502E-2</v>
      </c>
      <c r="K11">
        <v>3.5892219296090502E-2</v>
      </c>
      <c r="L11">
        <v>0.11974228551689101</v>
      </c>
      <c r="M11">
        <v>7.7944832243458897E-2</v>
      </c>
      <c r="N11">
        <v>1.5431665838862101</v>
      </c>
      <c r="O11">
        <v>1.70905867126055</v>
      </c>
      <c r="P11">
        <v>0.95515039147830205</v>
      </c>
      <c r="Q11">
        <v>0.15224677347118701</v>
      </c>
      <c r="R11">
        <v>9.2908828280930902E-2</v>
      </c>
      <c r="S11">
        <v>6.1026096758001899E-2</v>
      </c>
      <c r="T11">
        <v>0.18888347356772101</v>
      </c>
      <c r="U11">
        <v>8.7412076801498997E-2</v>
      </c>
      <c r="V11">
        <v>1.34453261935896</v>
      </c>
      <c r="W11">
        <v>1.7670085751209399</v>
      </c>
      <c r="X11">
        <v>0.87524331500200903</v>
      </c>
      <c r="Y11">
        <v>0.30194758831822599</v>
      </c>
    </row>
    <row r="12" spans="1:25" x14ac:dyDescent="0.2">
      <c r="A12" t="s">
        <v>10</v>
      </c>
    </row>
    <row r="14" spans="1:25" x14ac:dyDescent="0.2">
      <c r="A14" t="s">
        <v>22</v>
      </c>
      <c r="B14">
        <f>AVERAGE(B3:B12)</f>
        <v>6.8120427464125374E-2</v>
      </c>
      <c r="C14">
        <f t="shared" ref="C14:Y14" si="0">AVERAGE(C3:C12)</f>
        <v>5.0488312507328936E-2</v>
      </c>
      <c r="D14">
        <f t="shared" si="0"/>
        <v>0.18055947595904984</v>
      </c>
      <c r="E14">
        <f t="shared" si="0"/>
        <v>0.11737432785005057</v>
      </c>
      <c r="F14">
        <f t="shared" si="0"/>
        <v>1.6514552539023899</v>
      </c>
      <c r="G14">
        <f t="shared" si="0"/>
        <v>1.5781904878006163</v>
      </c>
      <c r="H14">
        <f t="shared" si="0"/>
        <v>0.93298765599013989</v>
      </c>
      <c r="I14">
        <f t="shared" si="0"/>
        <v>0.19984008281667567</v>
      </c>
      <c r="J14">
        <f t="shared" si="0"/>
        <v>4.9079521524895801E-2</v>
      </c>
      <c r="K14">
        <f t="shared" si="0"/>
        <v>3.8901241164394716E-2</v>
      </c>
      <c r="L14">
        <f t="shared" si="0"/>
        <v>0.15161328877754884</v>
      </c>
      <c r="M14">
        <f t="shared" si="0"/>
        <v>9.7075603777491623E-2</v>
      </c>
      <c r="N14">
        <f t="shared" si="0"/>
        <v>1.613372897603325</v>
      </c>
      <c r="O14">
        <f t="shared" si="0"/>
        <v>1.624580462644502</v>
      </c>
      <c r="P14">
        <f t="shared" si="0"/>
        <v>0.94368254523943784</v>
      </c>
      <c r="Q14">
        <f t="shared" si="0"/>
        <v>0.17649555896419866</v>
      </c>
      <c r="R14">
        <f t="shared" si="0"/>
        <v>9.1148992079583671E-2</v>
      </c>
      <c r="S14">
        <f t="shared" si="0"/>
        <v>5.2394669684397009E-2</v>
      </c>
      <c r="T14">
        <f t="shared" si="0"/>
        <v>0.21530273423918947</v>
      </c>
      <c r="U14">
        <f t="shared" si="0"/>
        <v>0.1243705326829302</v>
      </c>
      <c r="V14">
        <f t="shared" si="0"/>
        <v>1.6826747918529765</v>
      </c>
      <c r="W14">
        <f t="shared" si="0"/>
        <v>1.503623792587365</v>
      </c>
      <c r="X14">
        <f t="shared" si="0"/>
        <v>0.92004829806307376</v>
      </c>
      <c r="Y14">
        <f t="shared" si="0"/>
        <v>0.22073855848551868</v>
      </c>
    </row>
    <row r="15" spans="1:25" x14ac:dyDescent="0.2">
      <c r="A15" t="s">
        <v>23</v>
      </c>
      <c r="B15">
        <f>STDEV(B3:B14)</f>
        <v>3.2632156095943501E-3</v>
      </c>
      <c r="C15">
        <f t="shared" ref="C15:Y15" si="1">STDEV(C3:C14)</f>
        <v>5.2222958064125861E-3</v>
      </c>
      <c r="D15">
        <f t="shared" si="1"/>
        <v>2.8572446099561874E-2</v>
      </c>
      <c r="E15">
        <f t="shared" si="1"/>
        <v>3.5195187465298358E-2</v>
      </c>
      <c r="F15">
        <f t="shared" si="1"/>
        <v>0.20998181813367495</v>
      </c>
      <c r="G15">
        <f t="shared" si="1"/>
        <v>0.15871015843699215</v>
      </c>
      <c r="H15">
        <f t="shared" si="1"/>
        <v>1.03840976371046E-2</v>
      </c>
      <c r="I15">
        <f t="shared" si="1"/>
        <v>2.4070960214624498E-2</v>
      </c>
      <c r="J15">
        <f t="shared" si="1"/>
        <v>3.5455133628865599E-3</v>
      </c>
      <c r="K15">
        <f t="shared" si="1"/>
        <v>5.8909546233553321E-3</v>
      </c>
      <c r="L15">
        <f t="shared" si="1"/>
        <v>2.7559801593467072E-2</v>
      </c>
      <c r="M15">
        <f t="shared" si="1"/>
        <v>2.2932942532237998E-2</v>
      </c>
      <c r="N15">
        <f t="shared" si="1"/>
        <v>0.21724759235731714</v>
      </c>
      <c r="O15">
        <f t="shared" si="1"/>
        <v>0.11943983565036993</v>
      </c>
      <c r="P15">
        <f t="shared" si="1"/>
        <v>9.4196615855190804E-3</v>
      </c>
      <c r="Q15">
        <f t="shared" si="1"/>
        <v>1.9709359820472512E-2</v>
      </c>
      <c r="R15">
        <f t="shared" si="1"/>
        <v>3.6783067670343767E-3</v>
      </c>
      <c r="S15">
        <f t="shared" si="1"/>
        <v>8.5762717198188242E-3</v>
      </c>
      <c r="T15">
        <f t="shared" si="1"/>
        <v>3.0376601772057383E-2</v>
      </c>
      <c r="U15">
        <f t="shared" si="1"/>
        <v>5.5587184601413139E-2</v>
      </c>
      <c r="V15">
        <f t="shared" si="1"/>
        <v>0.27216928233505899</v>
      </c>
      <c r="W15">
        <f t="shared" si="1"/>
        <v>0.21939158671790845</v>
      </c>
      <c r="X15">
        <f t="shared" si="1"/>
        <v>2.5035317745795736E-2</v>
      </c>
      <c r="Y15">
        <f t="shared" si="1"/>
        <v>4.5822481939976324E-2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55EE6-9AF5-EA4F-B0D9-A4D9C75660C0}">
  <dimension ref="A1:G15"/>
  <sheetViews>
    <sheetView workbookViewId="0">
      <selection activeCell="G8" sqref="G8"/>
    </sheetView>
  </sheetViews>
  <sheetFormatPr baseColWidth="10" defaultRowHeight="16" x14ac:dyDescent="0.2"/>
  <sheetData>
    <row r="1" spans="1:7" x14ac:dyDescent="0.2">
      <c r="A1" t="s">
        <v>0</v>
      </c>
      <c r="B1" t="s">
        <v>13</v>
      </c>
    </row>
    <row r="2" spans="1:7" x14ac:dyDescent="0.2"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</row>
    <row r="3" spans="1:7" x14ac:dyDescent="0.2">
      <c r="A3" t="s">
        <v>1</v>
      </c>
      <c r="B3">
        <v>0.16868607042346401</v>
      </c>
      <c r="C3">
        <v>0.121805752250825</v>
      </c>
      <c r="D3">
        <v>0.39685253527571901</v>
      </c>
      <c r="E3">
        <v>0.207389345912731</v>
      </c>
      <c r="F3">
        <v>4.4995953688994703</v>
      </c>
      <c r="G3">
        <v>3.6394033217722401</v>
      </c>
    </row>
    <row r="4" spans="1:7" x14ac:dyDescent="0.2">
      <c r="A4" t="s">
        <v>2</v>
      </c>
      <c r="B4">
        <v>0.18035581924174501</v>
      </c>
      <c r="C4">
        <v>0.13749122185323501</v>
      </c>
      <c r="D4">
        <v>0.33904751809308398</v>
      </c>
      <c r="E4">
        <v>0.23779479217407601</v>
      </c>
      <c r="F4">
        <v>5.76086429530449</v>
      </c>
      <c r="G4">
        <v>3.7029706626360599</v>
      </c>
    </row>
    <row r="5" spans="1:7" x14ac:dyDescent="0.2">
      <c r="A5" t="s">
        <v>3</v>
      </c>
    </row>
    <row r="6" spans="1:7" x14ac:dyDescent="0.2">
      <c r="A6" t="s">
        <v>4</v>
      </c>
      <c r="B6">
        <v>9.9240424067670294E-2</v>
      </c>
      <c r="C6">
        <v>9.9001721277624605E-2</v>
      </c>
      <c r="D6">
        <v>0.19679360059072301</v>
      </c>
      <c r="E6">
        <v>0.101914308664315</v>
      </c>
      <c r="F6">
        <v>4.2892542207414701</v>
      </c>
      <c r="G6">
        <v>2.7089260103337902</v>
      </c>
    </row>
    <row r="7" spans="1:7" x14ac:dyDescent="0.2">
      <c r="A7" t="s">
        <v>5</v>
      </c>
      <c r="B7">
        <v>0.15227495611521399</v>
      </c>
      <c r="C7">
        <v>0.112578050445102</v>
      </c>
      <c r="D7">
        <v>0.34643116714965</v>
      </c>
      <c r="E7">
        <v>0.16979369152804599</v>
      </c>
      <c r="F7">
        <v>4.9153058152282902</v>
      </c>
      <c r="G7">
        <v>3.8731455554542902</v>
      </c>
    </row>
    <row r="8" spans="1:7" x14ac:dyDescent="0.2">
      <c r="A8" t="s">
        <v>6</v>
      </c>
      <c r="B8">
        <v>0.17245683773449</v>
      </c>
      <c r="C8">
        <v>0.12933456627242701</v>
      </c>
      <c r="D8">
        <v>0.42916806146717301</v>
      </c>
      <c r="E8">
        <v>0.23431500007560599</v>
      </c>
      <c r="F8">
        <v>5.3596151073631297</v>
      </c>
      <c r="G8">
        <v>3.5975584548360899</v>
      </c>
    </row>
    <row r="9" spans="1:7" x14ac:dyDescent="0.2">
      <c r="A9" t="s">
        <v>7</v>
      </c>
    </row>
    <row r="10" spans="1:7" x14ac:dyDescent="0.2">
      <c r="A10" t="s">
        <v>8</v>
      </c>
    </row>
    <row r="11" spans="1:7" x14ac:dyDescent="0.2">
      <c r="A11" t="s">
        <v>9</v>
      </c>
      <c r="B11">
        <v>0.13801622159185101</v>
      </c>
      <c r="C11">
        <v>0.117557707411129</v>
      </c>
      <c r="D11">
        <v>0.287937494813648</v>
      </c>
      <c r="E11">
        <v>0.14680890601138699</v>
      </c>
      <c r="F11">
        <v>3.65946220165636</v>
      </c>
      <c r="G11">
        <v>3.10725212887905</v>
      </c>
    </row>
    <row r="12" spans="1:7" x14ac:dyDescent="0.2">
      <c r="A12" t="s">
        <v>10</v>
      </c>
    </row>
    <row r="14" spans="1:7" x14ac:dyDescent="0.2">
      <c r="A14" t="s">
        <v>22</v>
      </c>
      <c r="B14">
        <f>AVERAGE(B3:B12)</f>
        <v>0.15183838819573905</v>
      </c>
      <c r="C14">
        <f t="shared" ref="C14:G14" si="0">AVERAGE(C3:C12)</f>
        <v>0.11962816991839044</v>
      </c>
      <c r="D14">
        <f t="shared" si="0"/>
        <v>0.33270506289833285</v>
      </c>
      <c r="E14">
        <f t="shared" si="0"/>
        <v>0.18300267406102685</v>
      </c>
      <c r="F14">
        <f t="shared" si="0"/>
        <v>4.7473495015322014</v>
      </c>
      <c r="G14">
        <f t="shared" si="0"/>
        <v>3.4382093556519204</v>
      </c>
    </row>
    <row r="15" spans="1:7" x14ac:dyDescent="0.2">
      <c r="A15" t="s">
        <v>23</v>
      </c>
      <c r="B15">
        <f>STDEV(B3:B14)</f>
        <v>2.7325194244151495E-2</v>
      </c>
      <c r="C15">
        <f t="shared" ref="C15:G15" si="1">STDEV(C3:C14)</f>
        <v>1.2230331165691487E-2</v>
      </c>
      <c r="D15">
        <f t="shared" si="1"/>
        <v>7.5415186047997962E-2</v>
      </c>
      <c r="E15">
        <f t="shared" si="1"/>
        <v>4.880169027168671E-2</v>
      </c>
      <c r="F15">
        <f t="shared" si="1"/>
        <v>0.69342422156758721</v>
      </c>
      <c r="G15">
        <f t="shared" si="1"/>
        <v>0.40135729691055505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47B2D-5020-EE4C-86EB-05C520CEC92A}">
  <dimension ref="A1:C15"/>
  <sheetViews>
    <sheetView tabSelected="1" workbookViewId="0">
      <selection activeCell="C8" sqref="C8"/>
    </sheetView>
  </sheetViews>
  <sheetFormatPr baseColWidth="10" defaultRowHeight="16" x14ac:dyDescent="0.2"/>
  <sheetData>
    <row r="1" spans="1:3" x14ac:dyDescent="0.2">
      <c r="A1" t="s">
        <v>0</v>
      </c>
      <c r="B1" t="s">
        <v>13</v>
      </c>
    </row>
    <row r="2" spans="1:3" x14ac:dyDescent="0.2">
      <c r="B2" t="s">
        <v>14</v>
      </c>
      <c r="C2" t="s">
        <v>15</v>
      </c>
    </row>
    <row r="3" spans="1:3" x14ac:dyDescent="0.2">
      <c r="A3" t="s">
        <v>1</v>
      </c>
      <c r="B3">
        <v>0.17236271616888199</v>
      </c>
      <c r="C3">
        <v>0.111666868526927</v>
      </c>
    </row>
    <row r="4" spans="1:3" x14ac:dyDescent="0.2">
      <c r="A4" t="s">
        <v>2</v>
      </c>
      <c r="B4">
        <v>0.19159345514364801</v>
      </c>
      <c r="C4">
        <v>0.13028685334474899</v>
      </c>
    </row>
    <row r="5" spans="1:3" x14ac:dyDescent="0.2">
      <c r="A5" t="s">
        <v>3</v>
      </c>
    </row>
    <row r="6" spans="1:3" x14ac:dyDescent="0.2">
      <c r="A6" t="s">
        <v>4</v>
      </c>
      <c r="B6">
        <v>0.14408051550151099</v>
      </c>
      <c r="C6">
        <v>0.11393684203667601</v>
      </c>
    </row>
    <row r="7" spans="1:3" x14ac:dyDescent="0.2">
      <c r="A7" t="s">
        <v>5</v>
      </c>
      <c r="B7">
        <v>0.169167888000301</v>
      </c>
      <c r="C7">
        <v>0.119510932955743</v>
      </c>
    </row>
    <row r="8" spans="1:3" x14ac:dyDescent="0.2">
      <c r="A8" t="s">
        <v>6</v>
      </c>
      <c r="B8">
        <v>0.16573703958788999</v>
      </c>
      <c r="C8">
        <v>0.120701324805302</v>
      </c>
    </row>
    <row r="9" spans="1:3" x14ac:dyDescent="0.2">
      <c r="A9" t="s">
        <v>7</v>
      </c>
    </row>
    <row r="10" spans="1:3" x14ac:dyDescent="0.2">
      <c r="A10" t="s">
        <v>8</v>
      </c>
    </row>
    <row r="11" spans="1:3" x14ac:dyDescent="0.2">
      <c r="A11" t="s">
        <v>9</v>
      </c>
      <c r="B11">
        <v>0.15395508814067599</v>
      </c>
      <c r="C11">
        <v>0.119512149511872</v>
      </c>
    </row>
    <row r="12" spans="1:3" x14ac:dyDescent="0.2">
      <c r="A12" t="s">
        <v>10</v>
      </c>
    </row>
    <row r="14" spans="1:3" x14ac:dyDescent="0.2">
      <c r="A14" t="s">
        <v>22</v>
      </c>
      <c r="B14">
        <f>AVERAGE(B3:B12)</f>
        <v>0.16614945042381801</v>
      </c>
      <c r="C14">
        <f t="shared" ref="C14" si="0">AVERAGE(C3:C12)</f>
        <v>0.11926916186354482</v>
      </c>
    </row>
    <row r="15" spans="1:3" x14ac:dyDescent="0.2">
      <c r="A15" t="s">
        <v>23</v>
      </c>
      <c r="B15">
        <f>STDEV(B3:B14)</f>
        <v>1.4894201643591436E-2</v>
      </c>
      <c r="C15">
        <f t="shared" ref="C15" si="1">STDEV(C3:C14)</f>
        <v>5.9130732454593868E-3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ML</vt:lpstr>
      <vt:lpstr>EKF</vt:lpstr>
      <vt:lpstr>TBE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2023-02-26T03:16:55Z</dcterms:created>
  <dcterms:modified xsi:type="dcterms:W3CDTF">2023-03-06T15:15:21Z</dcterms:modified>
</cp:coreProperties>
</file>